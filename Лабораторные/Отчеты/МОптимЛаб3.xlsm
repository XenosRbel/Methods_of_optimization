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ThisWorkbook" defaultThemeVersion="124226"/>
  <xr:revisionPtr revIDLastSave="0" documentId="13_ncr:1_{F4FBFEB1-9CD7-4E2E-AEB9-43BC9F43B929}" xr6:coauthVersionLast="37" xr6:coauthVersionMax="37" xr10:uidLastSave="{00000000-0000-0000-0000-000000000000}"/>
  <bookViews>
    <workbookView xWindow="0" yWindow="0" windowWidth="19170" windowHeight="12195" xr2:uid="{00000000-000D-0000-FFFF-FFFF00000000}"/>
  </bookViews>
  <sheets>
    <sheet name="Inputs" sheetId="5" r:id="rId1"/>
    <sheet name="двухэтапная транспортная задача" sheetId="1" r:id="rId2"/>
    <sheet name="раздельное прикрепление" sheetId="4" r:id="rId3"/>
  </sheets>
  <definedNames>
    <definedName name="solver_adj" localSheetId="1" hidden="1">'двухэтапная транспортная задача'!$D$4:$K$11</definedName>
    <definedName name="solver_adj" localSheetId="2" hidden="1">'раздельное прикрепление'!$C$18:$F$21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2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'двухэтапная транспортная задача'!$L$4:$L$11</definedName>
    <definedName name="solver_lhs1" localSheetId="2" hidden="1">'раздельное прикрепление'!$G$18:$G$21</definedName>
    <definedName name="solver_lhs2" localSheetId="1" hidden="1">'двухэтапная транспортная задача'!$D$12:$K$12</definedName>
    <definedName name="solver_lhs2" localSheetId="2" hidden="1">'раздельное прикрепление'!$C$22:$F$22</definedName>
    <definedName name="solver_lin" localSheetId="2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2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pt" localSheetId="1" hidden="1">'двухэтапная транспортная задача'!$L$12</definedName>
    <definedName name="solver_opt" localSheetId="2" hidden="1">'раздельное прикрепление'!$I$8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2</definedName>
    <definedName name="solver_rel1" localSheetId="2" hidden="1">1</definedName>
    <definedName name="solver_rel2" localSheetId="1" hidden="1">1</definedName>
    <definedName name="solver_rel2" localSheetId="2" hidden="1">2</definedName>
    <definedName name="solver_rhs1" localSheetId="1" hidden="1">'двухэтапная транспортная задача'!$N$4:$N$11</definedName>
    <definedName name="solver_rhs1" localSheetId="2" hidden="1">'раздельное прикрепление'!$B$18:$B$21</definedName>
    <definedName name="solver_rhs2" localSheetId="1" hidden="1">'двухэтапная транспортная задача'!$D$14:$K$14</definedName>
    <definedName name="solver_rhs2" localSheetId="2" hidden="1">'раздельное прикрепление'!$C$17:$F$17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79021"/>
</workbook>
</file>

<file path=xl/calcChain.xml><?xml version="1.0" encoding="utf-8"?>
<calcChain xmlns="http://schemas.openxmlformats.org/spreadsheetml/2006/main">
  <c r="G3" i="4" l="1"/>
  <c r="G4" i="4"/>
  <c r="G5" i="4"/>
  <c r="G6" i="4"/>
  <c r="C27" i="4"/>
  <c r="D27" i="4"/>
  <c r="E27" i="4"/>
  <c r="F27" i="4"/>
  <c r="C28" i="4"/>
  <c r="D28" i="4"/>
  <c r="E28" i="4"/>
  <c r="F28" i="4"/>
  <c r="C29" i="4"/>
  <c r="D29" i="4"/>
  <c r="E29" i="4"/>
  <c r="F29" i="4"/>
  <c r="D26" i="4"/>
  <c r="E26" i="4"/>
  <c r="F26" i="4"/>
  <c r="C26" i="4"/>
  <c r="C12" i="4"/>
  <c r="D12" i="4"/>
  <c r="E12" i="4"/>
  <c r="F12" i="4"/>
  <c r="C13" i="4"/>
  <c r="D13" i="4"/>
  <c r="E13" i="4"/>
  <c r="F13" i="4"/>
  <c r="C14" i="4"/>
  <c r="D14" i="4"/>
  <c r="E14" i="4"/>
  <c r="F14" i="4"/>
  <c r="D11" i="4"/>
  <c r="E11" i="4"/>
  <c r="F11" i="4"/>
  <c r="C11" i="4"/>
  <c r="F17" i="4"/>
  <c r="E17" i="4"/>
  <c r="D17" i="4"/>
  <c r="C17" i="4"/>
  <c r="B4" i="4"/>
  <c r="B5" i="4"/>
  <c r="B6" i="4"/>
  <c r="B3" i="4"/>
  <c r="F2" i="4"/>
  <c r="E2" i="4"/>
  <c r="D2" i="4"/>
  <c r="C2" i="4"/>
  <c r="H24" i="1"/>
  <c r="I24" i="1"/>
  <c r="J24" i="1"/>
  <c r="K24" i="1"/>
  <c r="H25" i="1"/>
  <c r="I25" i="1"/>
  <c r="J25" i="1"/>
  <c r="K25" i="1"/>
  <c r="H26" i="1"/>
  <c r="I26" i="1"/>
  <c r="J26" i="1"/>
  <c r="K26" i="1"/>
  <c r="I23" i="1"/>
  <c r="J23" i="1"/>
  <c r="K23" i="1"/>
  <c r="H23" i="1"/>
  <c r="D20" i="1"/>
  <c r="E20" i="1"/>
  <c r="F20" i="1"/>
  <c r="G20" i="1"/>
  <c r="D21" i="1"/>
  <c r="E21" i="1"/>
  <c r="F21" i="1"/>
  <c r="G21" i="1"/>
  <c r="D22" i="1"/>
  <c r="E22" i="1"/>
  <c r="F22" i="1"/>
  <c r="G22" i="1"/>
  <c r="E19" i="1"/>
  <c r="F19" i="1"/>
  <c r="G19" i="1"/>
  <c r="D19" i="1"/>
  <c r="K14" i="1"/>
  <c r="J14" i="1"/>
  <c r="I14" i="1"/>
  <c r="H14" i="1"/>
  <c r="G14" i="1"/>
  <c r="N9" i="1"/>
  <c r="E14" i="1" s="1"/>
  <c r="N10" i="1"/>
  <c r="F14" i="1" s="1"/>
  <c r="N11" i="1"/>
  <c r="N8" i="1"/>
  <c r="D14" i="1" s="1"/>
  <c r="N5" i="1"/>
  <c r="N6" i="1"/>
  <c r="N7" i="1"/>
  <c r="N4" i="1"/>
  <c r="B12" i="4" l="1"/>
  <c r="B13" i="4"/>
  <c r="B14" i="4"/>
  <c r="B11" i="4"/>
  <c r="F7" i="4"/>
  <c r="G20" i="4"/>
  <c r="F25" i="4"/>
  <c r="E25" i="4"/>
  <c r="D25" i="4"/>
  <c r="C25" i="4"/>
  <c r="B21" i="4"/>
  <c r="B29" i="4" s="1"/>
  <c r="B20" i="4"/>
  <c r="B28" i="4" s="1"/>
  <c r="B19" i="4"/>
  <c r="B27" i="4" s="1"/>
  <c r="C10" i="4"/>
  <c r="J3" i="1"/>
  <c r="J18" i="1" s="1"/>
  <c r="G12" i="1"/>
  <c r="G3" i="1"/>
  <c r="G18" i="1" s="1"/>
  <c r="D3" i="1"/>
  <c r="D18" i="1" s="1"/>
  <c r="E3" i="1"/>
  <c r="E18" i="1" s="1"/>
  <c r="F3" i="1"/>
  <c r="F18" i="1" s="1"/>
  <c r="K3" i="1"/>
  <c r="K18" i="1" s="1"/>
  <c r="C9" i="1"/>
  <c r="C24" i="1" s="1"/>
  <c r="C10" i="1"/>
  <c r="C25" i="1" s="1"/>
  <c r="C11" i="1"/>
  <c r="C26" i="1" s="1"/>
  <c r="C8" i="1"/>
  <c r="C23" i="1" s="1"/>
  <c r="C5" i="1"/>
  <c r="C20" i="1" s="1"/>
  <c r="C6" i="1"/>
  <c r="C21" i="1" s="1"/>
  <c r="C7" i="1"/>
  <c r="C22" i="1" s="1"/>
  <c r="F12" i="1"/>
  <c r="L10" i="1"/>
  <c r="L6" i="1"/>
  <c r="C4" i="1"/>
  <c r="C19" i="1" s="1"/>
  <c r="I3" i="1"/>
  <c r="I18" i="1" s="1"/>
  <c r="H3" i="1"/>
  <c r="H18" i="1" s="1"/>
  <c r="L4" i="1"/>
  <c r="L5" i="1"/>
  <c r="L7" i="1"/>
  <c r="L8" i="1"/>
  <c r="L9" i="1"/>
  <c r="L11" i="1"/>
  <c r="D12" i="1"/>
  <c r="E12" i="1"/>
  <c r="H12" i="1"/>
  <c r="I12" i="1"/>
  <c r="J12" i="1"/>
  <c r="K12" i="1"/>
  <c r="B7" i="4" l="1"/>
  <c r="G2" i="4"/>
  <c r="D10" i="4"/>
  <c r="B18" i="4"/>
  <c r="E10" i="4"/>
  <c r="G17" i="4"/>
  <c r="C2" i="1"/>
  <c r="B3" i="1"/>
  <c r="F10" i="4"/>
  <c r="L12" i="1"/>
  <c r="K8" i="4"/>
  <c r="K7" i="4"/>
  <c r="K3" i="4"/>
  <c r="M8" i="4"/>
  <c r="M7" i="4"/>
  <c r="M3" i="4"/>
  <c r="I8" i="4"/>
  <c r="M2" i="4" s="1"/>
  <c r="I3" i="4"/>
  <c r="K2" i="4" s="1"/>
  <c r="G19" i="4"/>
  <c r="G21" i="4"/>
  <c r="G18" i="4"/>
  <c r="M6" i="4" s="1" a="1"/>
  <c r="F22" i="4"/>
  <c r="C22" i="4"/>
  <c r="M4" i="4" s="1" a="1"/>
  <c r="E22" i="4"/>
  <c r="D22" i="4"/>
  <c r="D7" i="4"/>
  <c r="E7" i="4"/>
  <c r="C7" i="4"/>
  <c r="K6" i="4" a="1"/>
  <c r="E13" i="1" l="1"/>
  <c r="I13" i="1"/>
  <c r="F13" i="1"/>
  <c r="J13" i="1"/>
  <c r="G13" i="1"/>
  <c r="K13" i="1"/>
  <c r="H13" i="1"/>
  <c r="D13" i="1"/>
  <c r="M5" i="1"/>
  <c r="M9" i="1"/>
  <c r="M6" i="1"/>
  <c r="M10" i="1"/>
  <c r="M7" i="1"/>
  <c r="M11" i="1"/>
  <c r="M8" i="1"/>
  <c r="M4" i="1"/>
  <c r="B26" i="4"/>
  <c r="B22" i="4"/>
  <c r="K4" i="4" a="1"/>
  <c r="K4" i="4" s="1"/>
  <c r="K6" i="4"/>
  <c r="M6" i="4"/>
  <c r="M4" i="4"/>
  <c r="I11" i="4"/>
</calcChain>
</file>

<file path=xl/sharedStrings.xml><?xml version="1.0" encoding="utf-8"?>
<sst xmlns="http://schemas.openxmlformats.org/spreadsheetml/2006/main" count="91" uniqueCount="37">
  <si>
    <t>Завод 1</t>
  </si>
  <si>
    <t>Завод 2</t>
  </si>
  <si>
    <t>Завод 3</t>
  </si>
  <si>
    <t>Склад 1</t>
  </si>
  <si>
    <t>Склад 2</t>
  </si>
  <si>
    <t>Склад 3</t>
  </si>
  <si>
    <t>Потредитель 2</t>
  </si>
  <si>
    <t>тарифы</t>
  </si>
  <si>
    <t>Поставки</t>
  </si>
  <si>
    <t>лев.ч.</t>
  </si>
  <si>
    <t>Знак</t>
  </si>
  <si>
    <t>прав.ч</t>
  </si>
  <si>
    <t>min</t>
  </si>
  <si>
    <t>Поставки завод -&gt; скалад</t>
  </si>
  <si>
    <t>Тарифы завод -&gt; скалад</t>
  </si>
  <si>
    <t>ЦФ завод -&gt; скалад</t>
  </si>
  <si>
    <t>Поставки склад -&gt; потребитель</t>
  </si>
  <si>
    <t>Тарифы склад -&gt; потребитель</t>
  </si>
  <si>
    <t>Поиск решения скалад -&gt; потребитель</t>
  </si>
  <si>
    <t>Поиск решения  завод -&gt; скалад</t>
  </si>
  <si>
    <t xml:space="preserve">ЦФ скалад -&gt; потребитель </t>
  </si>
  <si>
    <t>Потребитель 1</t>
  </si>
  <si>
    <t>Потребитель 2</t>
  </si>
  <si>
    <t>Потребитель 3</t>
  </si>
  <si>
    <t>Потребитель 4</t>
  </si>
  <si>
    <t>ai</t>
  </si>
  <si>
    <t>bj</t>
  </si>
  <si>
    <t>dr</t>
  </si>
  <si>
    <t>cir</t>
  </si>
  <si>
    <t>trj</t>
  </si>
  <si>
    <t>Завод 4</t>
  </si>
  <si>
    <t>Склад 4</t>
  </si>
  <si>
    <t>Объём поставок</t>
  </si>
  <si>
    <t>Объём потребления</t>
  </si>
  <si>
    <t>Пропускная способность</t>
  </si>
  <si>
    <t>Стоимость перевозки единицы продукции</t>
  </si>
  <si>
    <t>Общая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</si>
</sst>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b/>
      <sz val="11"/>
      <color rgb="FFFA7D00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5" fillId="9" borderId="10" applyNumberFormat="0" applyFont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2" fillId="3" borderId="6" xfId="2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2" fillId="3" borderId="8" xfId="2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0" borderId="6" xfId="0" applyBorder="1"/>
    <xf numFmtId="0" fontId="0" fillId="5" borderId="8" xfId="0" applyFill="1" applyBorder="1" applyAlignment="1">
      <alignment horizontal="center"/>
    </xf>
    <xf numFmtId="0" fontId="0" fillId="0" borderId="9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wrapText="1"/>
    </xf>
    <xf numFmtId="0" fontId="3" fillId="4" borderId="1" xfId="3" applyAlignment="1">
      <alignment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6" borderId="13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/>
    </xf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4" xfId="0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2" fillId="3" borderId="13" xfId="2" applyBorder="1" applyAlignment="1">
      <alignment horizontal="center" vertical="center"/>
    </xf>
    <xf numFmtId="0" fontId="1" fillId="2" borderId="13" xfId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37" xfId="0" applyBorder="1"/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0" fillId="0" borderId="4" xfId="0" applyBorder="1"/>
    <xf numFmtId="0" fontId="0" fillId="0" borderId="7" xfId="0" applyBorder="1"/>
    <xf numFmtId="0" fontId="3" fillId="4" borderId="9" xfId="3" applyBorder="1"/>
    <xf numFmtId="0" fontId="0" fillId="0" borderId="1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7" borderId="39" xfId="0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/>
    <xf numFmtId="0" fontId="6" fillId="0" borderId="0" xfId="0" applyFont="1"/>
    <xf numFmtId="0" fontId="0" fillId="0" borderId="34" xfId="0" applyBorder="1" applyAlignment="1">
      <alignment vertical="center"/>
    </xf>
    <xf numFmtId="0" fontId="0" fillId="7" borderId="3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/>
    </xf>
    <xf numFmtId="0" fontId="0" fillId="10" borderId="34" xfId="0" applyFill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30" xfId="0" applyFont="1" applyFill="1" applyBorder="1" applyAlignment="1">
      <alignment horizontal="center" vertical="center"/>
    </xf>
    <xf numFmtId="0" fontId="6" fillId="11" borderId="41" xfId="0" applyFont="1" applyFill="1" applyBorder="1" applyAlignment="1">
      <alignment horizontal="center" vertical="center"/>
    </xf>
    <xf numFmtId="0" fontId="6" fillId="11" borderId="42" xfId="0" applyFont="1" applyFill="1" applyBorder="1" applyAlignment="1">
      <alignment horizontal="center" vertical="center"/>
    </xf>
    <xf numFmtId="0" fontId="6" fillId="11" borderId="38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9" borderId="15" xfId="4" applyFont="1" applyBorder="1" applyAlignment="1">
      <alignment horizontal="center" vertical="center" wrapText="1"/>
    </xf>
    <xf numFmtId="0" fontId="0" fillId="9" borderId="16" xfId="4" applyFont="1" applyBorder="1" applyAlignment="1">
      <alignment horizontal="center" vertical="center" wrapText="1"/>
    </xf>
    <xf numFmtId="0" fontId="0" fillId="9" borderId="17" xfId="4" applyFont="1" applyBorder="1" applyAlignment="1">
      <alignment horizontal="center" vertical="center" wrapText="1"/>
    </xf>
    <xf numFmtId="0" fontId="0" fillId="9" borderId="10" xfId="4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5">
    <cellStyle name="Bad" xfId="2" builtinId="27"/>
    <cellStyle name="Calculation" xfId="3" builtinId="22"/>
    <cellStyle name="Good" xfId="1" builtinId="26"/>
    <cellStyle name="Normal" xfId="0" builtinId="0"/>
    <cellStyle name="Note" xfId="4" builtin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190500</xdr:rowOff>
        </xdr:from>
        <xdr:to>
          <xdr:col>15</xdr:col>
          <xdr:colOff>600075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Сделай всё за меня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73777-7FEC-4DEA-A42E-91AB8DCAF1DC}">
  <sheetPr codeName="Sheet3"/>
  <dimension ref="A1:K18"/>
  <sheetViews>
    <sheetView tabSelected="1" workbookViewId="0">
      <selection activeCell="Q16" sqref="Q16"/>
    </sheetView>
  </sheetViews>
  <sheetFormatPr defaultRowHeight="15" x14ac:dyDescent="0.25"/>
  <cols>
    <col min="2" max="2" width="13.28515625" bestFit="1" customWidth="1"/>
    <col min="3" max="3" width="12.28515625" bestFit="1" customWidth="1"/>
  </cols>
  <sheetData>
    <row r="1" spans="1:11" ht="31.5" customHeight="1" thickBot="1" x14ac:dyDescent="0.3">
      <c r="A1" s="69" t="s">
        <v>32</v>
      </c>
      <c r="B1" s="70" t="s">
        <v>33</v>
      </c>
      <c r="C1" s="70" t="s">
        <v>34</v>
      </c>
      <c r="D1" s="101" t="s">
        <v>35</v>
      </c>
      <c r="E1" s="102"/>
      <c r="F1" s="102"/>
      <c r="G1" s="102"/>
      <c r="H1" s="102"/>
      <c r="I1" s="102"/>
      <c r="J1" s="102"/>
      <c r="K1" s="103"/>
    </row>
    <row r="2" spans="1:11" ht="15.75" thickBot="1" x14ac:dyDescent="0.3">
      <c r="A2" s="66" t="s">
        <v>25</v>
      </c>
      <c r="B2" s="67" t="s">
        <v>26</v>
      </c>
      <c r="C2" s="68" t="s">
        <v>27</v>
      </c>
      <c r="D2" s="95" t="s">
        <v>28</v>
      </c>
      <c r="E2" s="96"/>
      <c r="F2" s="96"/>
      <c r="G2" s="97"/>
      <c r="H2" s="98" t="s">
        <v>29</v>
      </c>
      <c r="I2" s="99"/>
      <c r="J2" s="99"/>
      <c r="K2" s="100"/>
    </row>
    <row r="3" spans="1:11" x14ac:dyDescent="0.25">
      <c r="A3" s="42">
        <v>200</v>
      </c>
      <c r="B3" s="43">
        <v>210</v>
      </c>
      <c r="C3" s="44">
        <v>350</v>
      </c>
      <c r="D3" s="61">
        <v>16</v>
      </c>
      <c r="E3" s="59">
        <v>12</v>
      </c>
      <c r="F3" s="59">
        <v>14</v>
      </c>
      <c r="G3" s="65"/>
      <c r="H3" s="41">
        <v>6</v>
      </c>
      <c r="I3" s="59">
        <v>8</v>
      </c>
      <c r="J3" s="59">
        <v>5</v>
      </c>
      <c r="K3" s="60">
        <v>2</v>
      </c>
    </row>
    <row r="4" spans="1:11" x14ac:dyDescent="0.25">
      <c r="A4" s="45">
        <v>300</v>
      </c>
      <c r="B4" s="19">
        <v>320</v>
      </c>
      <c r="C4" s="46">
        <v>320</v>
      </c>
      <c r="D4" s="21">
        <v>20</v>
      </c>
      <c r="E4" s="20">
        <v>10</v>
      </c>
      <c r="F4" s="20">
        <v>18</v>
      </c>
      <c r="G4" s="23"/>
      <c r="H4" s="51">
        <v>5</v>
      </c>
      <c r="I4" s="20">
        <v>10</v>
      </c>
      <c r="J4" s="20">
        <v>3</v>
      </c>
      <c r="K4" s="47">
        <v>1</v>
      </c>
    </row>
    <row r="5" spans="1:11" x14ac:dyDescent="0.25">
      <c r="A5" s="21">
        <v>0</v>
      </c>
      <c r="B5" s="20">
        <v>150</v>
      </c>
      <c r="C5" s="63">
        <v>400</v>
      </c>
      <c r="D5" s="21"/>
      <c r="E5" s="20"/>
      <c r="F5" s="20"/>
      <c r="G5" s="23"/>
      <c r="H5" s="51"/>
      <c r="I5" s="20"/>
      <c r="J5" s="20"/>
      <c r="K5" s="47"/>
    </row>
    <row r="6" spans="1:11" ht="15.75" thickBot="1" x14ac:dyDescent="0.3">
      <c r="A6" s="53">
        <v>400</v>
      </c>
      <c r="B6" s="54">
        <v>220</v>
      </c>
      <c r="C6" s="64">
        <v>0</v>
      </c>
      <c r="D6" s="48">
        <v>14</v>
      </c>
      <c r="E6" s="49">
        <v>21</v>
      </c>
      <c r="F6" s="49">
        <v>16</v>
      </c>
      <c r="G6" s="25"/>
      <c r="H6" s="52">
        <v>8</v>
      </c>
      <c r="I6" s="49">
        <v>12</v>
      </c>
      <c r="J6" s="49">
        <v>4</v>
      </c>
      <c r="K6" s="50">
        <v>2</v>
      </c>
    </row>
    <row r="14" spans="1:11" x14ac:dyDescent="0.25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0"/>
    </row>
    <row r="15" spans="1:11" x14ac:dyDescent="0.25">
      <c r="A15" s="91"/>
      <c r="B15" s="91"/>
      <c r="C15" s="91"/>
      <c r="D15" s="91"/>
      <c r="E15" s="91"/>
      <c r="F15" s="91"/>
      <c r="G15" s="94"/>
      <c r="H15" s="91"/>
      <c r="I15" s="91"/>
      <c r="J15" s="91"/>
      <c r="K15" s="93"/>
    </row>
    <row r="16" spans="1:11" x14ac:dyDescent="0.25">
      <c r="A16" s="91"/>
      <c r="B16" s="91"/>
      <c r="C16" s="91"/>
      <c r="D16" s="91"/>
      <c r="E16" s="91"/>
      <c r="F16" s="91"/>
      <c r="G16" s="94"/>
      <c r="H16" s="91"/>
      <c r="I16" s="91"/>
      <c r="J16" s="91"/>
      <c r="K16" s="93"/>
    </row>
    <row r="17" spans="1:11" x14ac:dyDescent="0.25">
      <c r="A17" s="91"/>
      <c r="B17" s="91"/>
      <c r="C17" s="91"/>
      <c r="D17" s="91"/>
      <c r="E17" s="91"/>
      <c r="F17" s="91"/>
      <c r="G17" s="94"/>
      <c r="H17" s="91"/>
      <c r="I17" s="91"/>
      <c r="J17" s="91"/>
      <c r="K17" s="93"/>
    </row>
    <row r="18" spans="1:11" x14ac:dyDescent="0.25">
      <c r="A18" s="91"/>
      <c r="B18" s="91"/>
      <c r="C18" s="91"/>
      <c r="D18" s="91"/>
      <c r="E18" s="91"/>
      <c r="F18" s="91"/>
      <c r="G18" s="94"/>
      <c r="H18" s="91"/>
      <c r="I18" s="91"/>
      <c r="J18" s="91"/>
      <c r="K18" s="93"/>
    </row>
  </sheetData>
  <mergeCells count="3">
    <mergeCell ref="D2:G2"/>
    <mergeCell ref="H2:K2"/>
    <mergeCell ref="D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CalculateAllNow">
                <anchor moveWithCells="1">
                  <from>
                    <xdr:col>12</xdr:col>
                    <xdr:colOff>0</xdr:colOff>
                    <xdr:row>1</xdr:row>
                    <xdr:rowOff>190500</xdr:rowOff>
                  </from>
                  <to>
                    <xdr:col>15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6"/>
  <sheetViews>
    <sheetView workbookViewId="0">
      <selection activeCell="L12" sqref="L12"/>
    </sheetView>
  </sheetViews>
  <sheetFormatPr defaultRowHeight="15" x14ac:dyDescent="0.25"/>
  <cols>
    <col min="1" max="1" width="5.7109375" customWidth="1"/>
    <col min="2" max="2" width="13.42578125" customWidth="1"/>
    <col min="3" max="3" width="13.28515625" customWidth="1"/>
    <col min="4" max="4" width="9.140625" customWidth="1"/>
    <col min="5" max="5" width="14.5703125" bestFit="1" customWidth="1"/>
    <col min="6" max="6" width="14.5703125" customWidth="1"/>
    <col min="7" max="7" width="7.85546875" bestFit="1" customWidth="1"/>
    <col min="8" max="11" width="14.5703125" bestFit="1" customWidth="1"/>
    <col min="13" max="13" width="7.85546875" bestFit="1" customWidth="1"/>
    <col min="14" max="14" width="6.85546875" bestFit="1" customWidth="1"/>
    <col min="15" max="16" width="7.85546875" bestFit="1" customWidth="1"/>
    <col min="17" max="17" width="7.85546875" customWidth="1"/>
    <col min="18" max="18" width="9.140625" hidden="1" customWidth="1"/>
    <col min="19" max="22" width="14.5703125" bestFit="1" customWidth="1"/>
  </cols>
  <sheetData>
    <row r="1" spans="2:14" ht="15.75" thickBot="1" x14ac:dyDescent="0.3"/>
    <row r="2" spans="2:14" ht="15.75" thickBot="1" x14ac:dyDescent="0.3">
      <c r="B2" s="86"/>
      <c r="C2" s="87">
        <f>SUM(C4:C11)</f>
        <v>1970</v>
      </c>
      <c r="D2" s="9" t="s">
        <v>3</v>
      </c>
      <c r="E2" s="9" t="s">
        <v>4</v>
      </c>
      <c r="F2" s="9" t="s">
        <v>5</v>
      </c>
      <c r="G2" s="9" t="s">
        <v>31</v>
      </c>
      <c r="H2" s="9" t="s">
        <v>21</v>
      </c>
      <c r="I2" s="9" t="s">
        <v>6</v>
      </c>
      <c r="J2" s="9" t="s">
        <v>23</v>
      </c>
      <c r="K2" s="9" t="s">
        <v>24</v>
      </c>
      <c r="L2" s="71"/>
    </row>
    <row r="3" spans="2:14" ht="15.75" thickBot="1" x14ac:dyDescent="0.3">
      <c r="B3" s="88">
        <f>SUM(D3:K3)</f>
        <v>1970</v>
      </c>
      <c r="C3" s="83" t="s">
        <v>8</v>
      </c>
      <c r="D3" s="84">
        <f t="shared" ref="D3:K3" si="0">D14</f>
        <v>350</v>
      </c>
      <c r="E3" s="5">
        <f t="shared" si="0"/>
        <v>320</v>
      </c>
      <c r="F3" s="5">
        <f t="shared" si="0"/>
        <v>400</v>
      </c>
      <c r="G3" s="5">
        <f t="shared" si="0"/>
        <v>0</v>
      </c>
      <c r="H3" s="6">
        <f t="shared" si="0"/>
        <v>210</v>
      </c>
      <c r="I3" s="6">
        <f t="shared" si="0"/>
        <v>320</v>
      </c>
      <c r="J3" s="6">
        <f t="shared" si="0"/>
        <v>150</v>
      </c>
      <c r="K3" s="6">
        <f t="shared" si="0"/>
        <v>220</v>
      </c>
      <c r="L3" s="26" t="s">
        <v>9</v>
      </c>
      <c r="M3" s="1" t="s">
        <v>10</v>
      </c>
      <c r="N3" s="1" t="s">
        <v>11</v>
      </c>
    </row>
    <row r="4" spans="2:14" x14ac:dyDescent="0.25">
      <c r="B4" s="12" t="s">
        <v>0</v>
      </c>
      <c r="C4" s="85">
        <f t="shared" ref="C4:C11" si="1">N4</f>
        <v>200</v>
      </c>
      <c r="D4" s="7">
        <v>0</v>
      </c>
      <c r="E4" s="7">
        <v>20</v>
      </c>
      <c r="F4" s="7">
        <v>180</v>
      </c>
      <c r="G4" s="7">
        <v>0</v>
      </c>
      <c r="H4" s="8">
        <v>0</v>
      </c>
      <c r="I4" s="8">
        <v>0</v>
      </c>
      <c r="J4" s="8">
        <v>0</v>
      </c>
      <c r="K4" s="8">
        <v>0</v>
      </c>
      <c r="L4" s="23">
        <f t="shared" ref="L4:L11" si="2">SUM(D4:K4)</f>
        <v>200</v>
      </c>
      <c r="M4" s="92" t="str">
        <f>IF($C$2&gt;$B$3,"≤","=")</f>
        <v>=</v>
      </c>
      <c r="N4" s="18">
        <f>Inputs!A3</f>
        <v>200</v>
      </c>
    </row>
    <row r="5" spans="2:14" x14ac:dyDescent="0.25">
      <c r="B5" s="12" t="s">
        <v>1</v>
      </c>
      <c r="C5" s="2">
        <f t="shared" si="1"/>
        <v>300</v>
      </c>
      <c r="D5" s="7">
        <v>0</v>
      </c>
      <c r="E5" s="7">
        <v>300</v>
      </c>
      <c r="F5" s="7">
        <v>0</v>
      </c>
      <c r="G5" s="7">
        <v>0</v>
      </c>
      <c r="H5" s="8">
        <v>0</v>
      </c>
      <c r="I5" s="8">
        <v>0</v>
      </c>
      <c r="J5" s="8">
        <v>0</v>
      </c>
      <c r="K5" s="8">
        <v>0</v>
      </c>
      <c r="L5" s="23">
        <f t="shared" si="2"/>
        <v>300</v>
      </c>
      <c r="M5" s="92" t="str">
        <f t="shared" ref="M5:M11" si="3">IF($C$2&gt;$B$3,"≤","=")</f>
        <v>=</v>
      </c>
      <c r="N5" s="18">
        <f>Inputs!A4</f>
        <v>300</v>
      </c>
    </row>
    <row r="6" spans="2:14" x14ac:dyDescent="0.25">
      <c r="B6" s="12" t="s">
        <v>2</v>
      </c>
      <c r="C6" s="2">
        <f t="shared" si="1"/>
        <v>0</v>
      </c>
      <c r="D6" s="7">
        <v>0</v>
      </c>
      <c r="E6" s="7">
        <v>0</v>
      </c>
      <c r="F6" s="7">
        <v>0</v>
      </c>
      <c r="G6" s="7">
        <v>0</v>
      </c>
      <c r="H6" s="8">
        <v>0</v>
      </c>
      <c r="I6" s="8">
        <v>0</v>
      </c>
      <c r="J6" s="8">
        <v>0</v>
      </c>
      <c r="K6" s="8">
        <v>0</v>
      </c>
      <c r="L6" s="23">
        <f t="shared" si="2"/>
        <v>0</v>
      </c>
      <c r="M6" s="92" t="str">
        <f t="shared" si="3"/>
        <v>=</v>
      </c>
      <c r="N6" s="18">
        <f>Inputs!A5</f>
        <v>0</v>
      </c>
    </row>
    <row r="7" spans="2:14" x14ac:dyDescent="0.25">
      <c r="B7" s="12" t="s">
        <v>30</v>
      </c>
      <c r="C7" s="2">
        <f t="shared" si="1"/>
        <v>400</v>
      </c>
      <c r="D7" s="7">
        <v>180</v>
      </c>
      <c r="E7" s="7">
        <v>0</v>
      </c>
      <c r="F7" s="7">
        <v>220</v>
      </c>
      <c r="G7" s="7">
        <v>0</v>
      </c>
      <c r="H7" s="8">
        <v>0</v>
      </c>
      <c r="I7" s="8">
        <v>0</v>
      </c>
      <c r="J7" s="8">
        <v>0</v>
      </c>
      <c r="K7" s="8">
        <v>0</v>
      </c>
      <c r="L7" s="23">
        <f t="shared" si="2"/>
        <v>400</v>
      </c>
      <c r="M7" s="92" t="str">
        <f t="shared" si="3"/>
        <v>=</v>
      </c>
      <c r="N7" s="18">
        <f>Inputs!A6</f>
        <v>400</v>
      </c>
    </row>
    <row r="8" spans="2:14" x14ac:dyDescent="0.25">
      <c r="B8" s="12" t="s">
        <v>3</v>
      </c>
      <c r="C8" s="4">
        <f t="shared" si="1"/>
        <v>350</v>
      </c>
      <c r="D8" s="7">
        <v>170</v>
      </c>
      <c r="E8" s="8">
        <v>0</v>
      </c>
      <c r="F8" s="8">
        <v>0</v>
      </c>
      <c r="G8" s="8">
        <v>0</v>
      </c>
      <c r="H8" s="7">
        <v>0</v>
      </c>
      <c r="I8" s="7">
        <v>0</v>
      </c>
      <c r="J8" s="7">
        <v>0</v>
      </c>
      <c r="K8" s="7">
        <v>180</v>
      </c>
      <c r="L8" s="23">
        <f t="shared" si="2"/>
        <v>350</v>
      </c>
      <c r="M8" s="92" t="str">
        <f t="shared" si="3"/>
        <v>=</v>
      </c>
      <c r="N8" s="18">
        <f>Inputs!C3</f>
        <v>350</v>
      </c>
    </row>
    <row r="9" spans="2:14" x14ac:dyDescent="0.25">
      <c r="B9" s="12" t="s">
        <v>4</v>
      </c>
      <c r="C9" s="4">
        <f t="shared" si="1"/>
        <v>320</v>
      </c>
      <c r="D9" s="8">
        <v>0</v>
      </c>
      <c r="E9" s="7">
        <v>0</v>
      </c>
      <c r="F9" s="8">
        <v>0</v>
      </c>
      <c r="G9" s="8">
        <v>0</v>
      </c>
      <c r="H9" s="7">
        <v>130</v>
      </c>
      <c r="I9" s="7">
        <v>0</v>
      </c>
      <c r="J9" s="7">
        <v>150</v>
      </c>
      <c r="K9" s="7">
        <v>40</v>
      </c>
      <c r="L9" s="23">
        <f t="shared" si="2"/>
        <v>320</v>
      </c>
      <c r="M9" s="92" t="str">
        <f t="shared" si="3"/>
        <v>=</v>
      </c>
      <c r="N9" s="18">
        <f>Inputs!C4</f>
        <v>320</v>
      </c>
    </row>
    <row r="10" spans="2:14" x14ac:dyDescent="0.25">
      <c r="B10" s="12" t="s">
        <v>5</v>
      </c>
      <c r="C10" s="4">
        <f t="shared" si="1"/>
        <v>400</v>
      </c>
      <c r="D10" s="8">
        <v>0</v>
      </c>
      <c r="E10" s="8">
        <v>0</v>
      </c>
      <c r="F10" s="7">
        <v>0</v>
      </c>
      <c r="G10" s="8">
        <v>0</v>
      </c>
      <c r="H10" s="7">
        <v>80</v>
      </c>
      <c r="I10" s="7">
        <v>320</v>
      </c>
      <c r="J10" s="7">
        <v>0</v>
      </c>
      <c r="K10" s="7">
        <v>0</v>
      </c>
      <c r="L10" s="23">
        <f t="shared" si="2"/>
        <v>400</v>
      </c>
      <c r="M10" s="92" t="str">
        <f t="shared" si="3"/>
        <v>=</v>
      </c>
      <c r="N10" s="18">
        <f>Inputs!C5</f>
        <v>400</v>
      </c>
    </row>
    <row r="11" spans="2:14" x14ac:dyDescent="0.25">
      <c r="B11" s="12" t="s">
        <v>31</v>
      </c>
      <c r="C11" s="4">
        <f t="shared" si="1"/>
        <v>0</v>
      </c>
      <c r="D11" s="8">
        <v>0</v>
      </c>
      <c r="E11" s="8">
        <v>0</v>
      </c>
      <c r="F11" s="8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23">
        <f t="shared" si="2"/>
        <v>0</v>
      </c>
      <c r="M11" s="92" t="str">
        <f t="shared" si="3"/>
        <v>=</v>
      </c>
      <c r="N11" s="18">
        <f>Inputs!C6</f>
        <v>0</v>
      </c>
    </row>
    <row r="12" spans="2:14" ht="15.75" thickBot="1" x14ac:dyDescent="0.3">
      <c r="B12" s="72"/>
      <c r="C12" s="27" t="s">
        <v>9</v>
      </c>
      <c r="D12" s="62">
        <f>SUM(D4:D11)</f>
        <v>350</v>
      </c>
      <c r="E12" s="62">
        <f t="shared" ref="E12:G12" si="4">SUM(E4:E11)</f>
        <v>320</v>
      </c>
      <c r="F12" s="62">
        <f t="shared" ref="F12" si="5">SUM(F4:F11)</f>
        <v>400</v>
      </c>
      <c r="G12" s="62">
        <f t="shared" si="4"/>
        <v>0</v>
      </c>
      <c r="H12" s="62">
        <f>SUM(H4:H11)</f>
        <v>210</v>
      </c>
      <c r="I12" s="62">
        <f>SUM(I4:I11)</f>
        <v>320</v>
      </c>
      <c r="J12" s="62">
        <f>SUM(J4:J11)</f>
        <v>150</v>
      </c>
      <c r="K12" s="62">
        <f>SUM(K4:K11)</f>
        <v>220</v>
      </c>
      <c r="L12" s="73">
        <f>SUMPRODUCT(D4:K11,D19:K26)</f>
        <v>13300</v>
      </c>
      <c r="M12" t="s">
        <v>12</v>
      </c>
    </row>
    <row r="13" spans="2:14" x14ac:dyDescent="0.25">
      <c r="C13" s="1" t="s">
        <v>10</v>
      </c>
      <c r="D13" s="89" t="str">
        <f>IF($B$3&gt;$C$2,"≤","=")</f>
        <v>=</v>
      </c>
      <c r="E13" s="89" t="str">
        <f t="shared" ref="E13:K13" si="6">IF($B$3&gt;$C$2,"≤","=")</f>
        <v>=</v>
      </c>
      <c r="F13" s="89" t="str">
        <f t="shared" si="6"/>
        <v>=</v>
      </c>
      <c r="G13" s="89" t="str">
        <f t="shared" si="6"/>
        <v>=</v>
      </c>
      <c r="H13" s="89" t="str">
        <f t="shared" si="6"/>
        <v>=</v>
      </c>
      <c r="I13" s="89" t="str">
        <f t="shared" si="6"/>
        <v>=</v>
      </c>
      <c r="J13" s="89" t="str">
        <f t="shared" si="6"/>
        <v>=</v>
      </c>
      <c r="K13" s="89" t="str">
        <f t="shared" si="6"/>
        <v>=</v>
      </c>
    </row>
    <row r="14" spans="2:14" x14ac:dyDescent="0.25">
      <c r="C14" s="3" t="s">
        <v>11</v>
      </c>
      <c r="D14" s="19">
        <f>N8</f>
        <v>350</v>
      </c>
      <c r="E14" s="19">
        <f>N9</f>
        <v>320</v>
      </c>
      <c r="F14" s="19">
        <f>N10</f>
        <v>400</v>
      </c>
      <c r="G14" s="19">
        <f>N11</f>
        <v>0</v>
      </c>
      <c r="H14" s="19">
        <f>Inputs!B3</f>
        <v>210</v>
      </c>
      <c r="I14" s="19">
        <f>Inputs!B4</f>
        <v>320</v>
      </c>
      <c r="J14" s="19">
        <f>Inputs!B5</f>
        <v>150</v>
      </c>
      <c r="K14" s="19">
        <f>Inputs!B6</f>
        <v>220</v>
      </c>
    </row>
    <row r="16" spans="2:14" ht="15.75" thickBot="1" x14ac:dyDescent="0.3"/>
    <row r="17" spans="2:11" x14ac:dyDescent="0.25">
      <c r="B17" s="104" t="s">
        <v>7</v>
      </c>
      <c r="C17" s="105"/>
      <c r="D17" s="9" t="s">
        <v>3</v>
      </c>
      <c r="E17" s="9" t="s">
        <v>4</v>
      </c>
      <c r="F17" s="9" t="s">
        <v>5</v>
      </c>
      <c r="G17" s="9" t="s">
        <v>31</v>
      </c>
      <c r="H17" s="9" t="s">
        <v>21</v>
      </c>
      <c r="I17" s="9" t="s">
        <v>22</v>
      </c>
      <c r="J17" s="9" t="s">
        <v>23</v>
      </c>
      <c r="K17" s="10" t="s">
        <v>24</v>
      </c>
    </row>
    <row r="18" spans="2:11" x14ac:dyDescent="0.25">
      <c r="B18" s="106"/>
      <c r="C18" s="107"/>
      <c r="D18" s="5">
        <f t="shared" ref="D18:K18" si="7">D3</f>
        <v>350</v>
      </c>
      <c r="E18" s="5">
        <f t="shared" si="7"/>
        <v>320</v>
      </c>
      <c r="F18" s="5">
        <f t="shared" si="7"/>
        <v>400</v>
      </c>
      <c r="G18" s="5">
        <f t="shared" si="7"/>
        <v>0</v>
      </c>
      <c r="H18" s="6">
        <f t="shared" si="7"/>
        <v>210</v>
      </c>
      <c r="I18" s="6">
        <f t="shared" si="7"/>
        <v>320</v>
      </c>
      <c r="J18" s="6">
        <f t="shared" si="7"/>
        <v>150</v>
      </c>
      <c r="K18" s="11">
        <f t="shared" si="7"/>
        <v>220</v>
      </c>
    </row>
    <row r="19" spans="2:11" x14ac:dyDescent="0.25">
      <c r="B19" s="12" t="s">
        <v>0</v>
      </c>
      <c r="C19" s="2">
        <f t="shared" ref="C19:C26" si="8">C4</f>
        <v>200</v>
      </c>
      <c r="D19" s="7">
        <f>Inputs!D3</f>
        <v>16</v>
      </c>
      <c r="E19" s="7">
        <f>Inputs!E3</f>
        <v>12</v>
      </c>
      <c r="F19" s="7">
        <f>Inputs!F3</f>
        <v>14</v>
      </c>
      <c r="G19" s="7">
        <f>Inputs!G3</f>
        <v>0</v>
      </c>
      <c r="H19" s="8">
        <v>1000</v>
      </c>
      <c r="I19" s="8">
        <v>1000</v>
      </c>
      <c r="J19" s="8">
        <v>1000</v>
      </c>
      <c r="K19" s="13">
        <v>1000</v>
      </c>
    </row>
    <row r="20" spans="2:11" x14ac:dyDescent="0.25">
      <c r="B20" s="12" t="s">
        <v>1</v>
      </c>
      <c r="C20" s="2">
        <f t="shared" si="8"/>
        <v>300</v>
      </c>
      <c r="D20" s="7">
        <f>Inputs!D4</f>
        <v>20</v>
      </c>
      <c r="E20" s="7">
        <f>Inputs!E4</f>
        <v>10</v>
      </c>
      <c r="F20" s="7">
        <f>Inputs!F4</f>
        <v>18</v>
      </c>
      <c r="G20" s="7">
        <f>Inputs!G4</f>
        <v>0</v>
      </c>
      <c r="H20" s="8">
        <v>1000</v>
      </c>
      <c r="I20" s="8">
        <v>1000</v>
      </c>
      <c r="J20" s="8">
        <v>1000</v>
      </c>
      <c r="K20" s="13">
        <v>1000</v>
      </c>
    </row>
    <row r="21" spans="2:11" hidden="1" x14ac:dyDescent="0.25">
      <c r="B21" s="12" t="s">
        <v>2</v>
      </c>
      <c r="C21" s="2">
        <f t="shared" si="8"/>
        <v>0</v>
      </c>
      <c r="D21" s="7">
        <f>Inputs!D5</f>
        <v>0</v>
      </c>
      <c r="E21" s="7">
        <f>Inputs!E5</f>
        <v>0</v>
      </c>
      <c r="F21" s="7">
        <f>Inputs!F5</f>
        <v>0</v>
      </c>
      <c r="G21" s="7">
        <f>Inputs!G5</f>
        <v>0</v>
      </c>
      <c r="H21" s="8">
        <v>1000</v>
      </c>
      <c r="I21" s="8">
        <v>1000</v>
      </c>
      <c r="J21" s="8">
        <v>1000</v>
      </c>
      <c r="K21" s="13">
        <v>1000</v>
      </c>
    </row>
    <row r="22" spans="2:11" x14ac:dyDescent="0.25">
      <c r="B22" s="12" t="s">
        <v>30</v>
      </c>
      <c r="C22" s="2">
        <f t="shared" si="8"/>
        <v>400</v>
      </c>
      <c r="D22" s="7">
        <f>Inputs!D6</f>
        <v>14</v>
      </c>
      <c r="E22" s="7">
        <f>Inputs!E6</f>
        <v>21</v>
      </c>
      <c r="F22" s="7">
        <f>Inputs!F6</f>
        <v>16</v>
      </c>
      <c r="G22" s="7">
        <f>Inputs!G6</f>
        <v>0</v>
      </c>
      <c r="H22" s="8">
        <v>1000</v>
      </c>
      <c r="I22" s="8">
        <v>1000</v>
      </c>
      <c r="J22" s="8">
        <v>1000</v>
      </c>
      <c r="K22" s="13">
        <v>1000</v>
      </c>
    </row>
    <row r="23" spans="2:11" x14ac:dyDescent="0.25">
      <c r="B23" s="12" t="s">
        <v>3</v>
      </c>
      <c r="C23" s="4">
        <f t="shared" si="8"/>
        <v>350</v>
      </c>
      <c r="D23" s="7">
        <v>0</v>
      </c>
      <c r="E23" s="8">
        <v>1000</v>
      </c>
      <c r="F23" s="8">
        <v>1000</v>
      </c>
      <c r="G23" s="8">
        <v>1000</v>
      </c>
      <c r="H23" s="7">
        <f>Inputs!H3</f>
        <v>6</v>
      </c>
      <c r="I23" s="7">
        <f>Inputs!I3</f>
        <v>8</v>
      </c>
      <c r="J23" s="7">
        <f>Inputs!J3</f>
        <v>5</v>
      </c>
      <c r="K23" s="7">
        <f>Inputs!K3</f>
        <v>2</v>
      </c>
    </row>
    <row r="24" spans="2:11" x14ac:dyDescent="0.25">
      <c r="B24" s="12" t="s">
        <v>4</v>
      </c>
      <c r="C24" s="4">
        <f t="shared" si="8"/>
        <v>320</v>
      </c>
      <c r="D24" s="8">
        <v>1000</v>
      </c>
      <c r="E24" s="7">
        <v>0</v>
      </c>
      <c r="F24" s="8">
        <v>1000</v>
      </c>
      <c r="G24" s="8">
        <v>1000</v>
      </c>
      <c r="H24" s="7">
        <f>Inputs!H4</f>
        <v>5</v>
      </c>
      <c r="I24" s="7">
        <f>Inputs!I4</f>
        <v>10</v>
      </c>
      <c r="J24" s="7">
        <f>Inputs!J4</f>
        <v>3</v>
      </c>
      <c r="K24" s="7">
        <f>Inputs!K4</f>
        <v>1</v>
      </c>
    </row>
    <row r="25" spans="2:11" x14ac:dyDescent="0.25">
      <c r="B25" s="55" t="s">
        <v>5</v>
      </c>
      <c r="C25" s="56">
        <f t="shared" si="8"/>
        <v>400</v>
      </c>
      <c r="D25" s="57">
        <v>1000</v>
      </c>
      <c r="E25" s="57">
        <v>1000</v>
      </c>
      <c r="F25" s="58">
        <v>0</v>
      </c>
      <c r="G25" s="57">
        <v>1000</v>
      </c>
      <c r="H25" s="7">
        <f>Inputs!H5</f>
        <v>0</v>
      </c>
      <c r="I25" s="7">
        <f>Inputs!I5</f>
        <v>0</v>
      </c>
      <c r="J25" s="7">
        <f>Inputs!J5</f>
        <v>0</v>
      </c>
      <c r="K25" s="7">
        <f>Inputs!K5</f>
        <v>0</v>
      </c>
    </row>
    <row r="26" spans="2:11" ht="15.75" thickBot="1" x14ac:dyDescent="0.3">
      <c r="B26" s="14" t="s">
        <v>31</v>
      </c>
      <c r="C26" s="15">
        <f t="shared" si="8"/>
        <v>0</v>
      </c>
      <c r="D26" s="16">
        <v>1000</v>
      </c>
      <c r="E26" s="16">
        <v>1000</v>
      </c>
      <c r="F26" s="16">
        <v>1000</v>
      </c>
      <c r="G26" s="17">
        <v>0</v>
      </c>
      <c r="H26" s="7">
        <f>Inputs!H6</f>
        <v>8</v>
      </c>
      <c r="I26" s="7">
        <f>Inputs!I6</f>
        <v>12</v>
      </c>
      <c r="J26" s="7">
        <f>Inputs!J6</f>
        <v>4</v>
      </c>
      <c r="K26" s="7">
        <f>Inputs!K6</f>
        <v>2</v>
      </c>
    </row>
  </sheetData>
  <mergeCells count="1">
    <mergeCell ref="B17:C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9"/>
  <sheetViews>
    <sheetView workbookViewId="0">
      <selection activeCell="K22" sqref="K22"/>
    </sheetView>
  </sheetViews>
  <sheetFormatPr defaultRowHeight="15" x14ac:dyDescent="0.25"/>
  <cols>
    <col min="1" max="1" width="8.28515625" customWidth="1"/>
    <col min="2" max="2" width="9.140625" customWidth="1"/>
    <col min="3" max="5" width="14.5703125" bestFit="1" customWidth="1"/>
    <col min="6" max="6" width="14.5703125" customWidth="1"/>
    <col min="7" max="7" width="14.5703125" bestFit="1" customWidth="1"/>
    <col min="9" max="9" width="18.42578125" style="29" bestFit="1" customWidth="1"/>
    <col min="11" max="11" width="30.5703125" bestFit="1" customWidth="1"/>
    <col min="13" max="13" width="37" bestFit="1" customWidth="1"/>
  </cols>
  <sheetData>
    <row r="1" spans="1:13" x14ac:dyDescent="0.25">
      <c r="A1" s="108" t="s">
        <v>13</v>
      </c>
      <c r="B1" s="109"/>
      <c r="C1" s="9" t="s">
        <v>3</v>
      </c>
      <c r="D1" s="9" t="s">
        <v>4</v>
      </c>
      <c r="E1" s="9" t="s">
        <v>5</v>
      </c>
      <c r="F1" s="75" t="s">
        <v>31</v>
      </c>
      <c r="I1" s="112" t="s">
        <v>15</v>
      </c>
      <c r="K1" s="38" t="s">
        <v>19</v>
      </c>
      <c r="M1" s="38" t="s">
        <v>18</v>
      </c>
    </row>
    <row r="2" spans="1:13" x14ac:dyDescent="0.25">
      <c r="A2" s="110"/>
      <c r="B2" s="111"/>
      <c r="C2" s="5">
        <f>Inputs!C3</f>
        <v>350</v>
      </c>
      <c r="D2" s="5">
        <f>Inputs!C4</f>
        <v>320</v>
      </c>
      <c r="E2" s="5">
        <f>Inputs!C5</f>
        <v>400</v>
      </c>
      <c r="F2" s="76">
        <f>Inputs!C6</f>
        <v>0</v>
      </c>
      <c r="G2" s="82">
        <f>SUM(C2:F2)</f>
        <v>1070</v>
      </c>
      <c r="I2" s="112"/>
      <c r="K2" s="39">
        <f>MIN($I$3)</f>
        <v>11460</v>
      </c>
      <c r="M2" s="39">
        <f>MIN($I$8)</f>
        <v>1500</v>
      </c>
    </row>
    <row r="3" spans="1:13" x14ac:dyDescent="0.25">
      <c r="A3" s="12" t="s">
        <v>0</v>
      </c>
      <c r="B3" s="2">
        <f>Inputs!A3</f>
        <v>200</v>
      </c>
      <c r="C3" s="3">
        <v>0</v>
      </c>
      <c r="D3" s="3">
        <v>20</v>
      </c>
      <c r="E3" s="3">
        <v>180</v>
      </c>
      <c r="F3" s="77">
        <v>0</v>
      </c>
      <c r="G3">
        <f>SUM(C3:F3)</f>
        <v>200</v>
      </c>
      <c r="I3" s="30">
        <f>SUMPRODUCT(C3:E6,C11:E14)</f>
        <v>11460</v>
      </c>
      <c r="K3" s="39">
        <f>COUNT($C$3:$E$6)</f>
        <v>12</v>
      </c>
      <c r="M3" s="39">
        <f>COUNT($C$18:$F$21)</f>
        <v>16</v>
      </c>
    </row>
    <row r="4" spans="1:13" x14ac:dyDescent="0.25">
      <c r="A4" s="12" t="s">
        <v>1</v>
      </c>
      <c r="B4" s="2">
        <f>Inputs!A4</f>
        <v>300</v>
      </c>
      <c r="C4" s="3">
        <v>0</v>
      </c>
      <c r="D4" s="3">
        <v>300</v>
      </c>
      <c r="E4" s="3">
        <v>0</v>
      </c>
      <c r="F4" s="77">
        <v>0</v>
      </c>
      <c r="G4">
        <f>SUM(C4:F4)</f>
        <v>300</v>
      </c>
      <c r="K4" s="39" t="b">
        <f t="array" ref="K4">$C$7:$E$7&lt;=$C$2:$E$2</f>
        <v>1</v>
      </c>
      <c r="M4" s="39" t="b">
        <f t="array" ref="M4">$C$22:$F$22=$C$17:$F$17</f>
        <v>1</v>
      </c>
    </row>
    <row r="5" spans="1:13" x14ac:dyDescent="0.25">
      <c r="A5" s="55" t="s">
        <v>2</v>
      </c>
      <c r="B5" s="2">
        <f>Inputs!A5</f>
        <v>0</v>
      </c>
      <c r="C5" s="74">
        <v>0</v>
      </c>
      <c r="D5" s="74">
        <v>0</v>
      </c>
      <c r="E5" s="74">
        <v>0</v>
      </c>
      <c r="F5" s="79">
        <v>0</v>
      </c>
      <c r="G5">
        <f>SUM(C5:F5)</f>
        <v>0</v>
      </c>
      <c r="K5" s="39"/>
      <c r="M5" s="39"/>
    </row>
    <row r="6" spans="1:13" ht="15.75" customHeight="1" thickBot="1" x14ac:dyDescent="0.3">
      <c r="A6" s="14" t="s">
        <v>30</v>
      </c>
      <c r="B6" s="24">
        <f>Inputs!A6</f>
        <v>400</v>
      </c>
      <c r="C6" s="27">
        <v>350</v>
      </c>
      <c r="D6" s="27">
        <v>0</v>
      </c>
      <c r="E6" s="27">
        <v>50</v>
      </c>
      <c r="F6" s="78">
        <v>0</v>
      </c>
      <c r="G6">
        <f>SUM(C6:F6)</f>
        <v>400</v>
      </c>
      <c r="I6" s="112" t="s">
        <v>20</v>
      </c>
      <c r="K6" s="39" t="b">
        <f t="array" ref="K6">$G$3:$G$6=$B$3:$B$6</f>
        <v>1</v>
      </c>
      <c r="M6" s="39" t="b">
        <f t="array" ref="M6">$G$18:$G$21=$B$18:$B$21</f>
        <v>0</v>
      </c>
    </row>
    <row r="7" spans="1:13" x14ac:dyDescent="0.25">
      <c r="B7" s="82">
        <f>SUM(B3:B6)</f>
        <v>900</v>
      </c>
      <c r="C7">
        <f>SUM(C3:C6)</f>
        <v>350</v>
      </c>
      <c r="D7">
        <f>SUM(D3:D6)</f>
        <v>320</v>
      </c>
      <c r="E7">
        <f>SUM(E3:E6)</f>
        <v>230</v>
      </c>
      <c r="F7">
        <f>SUM(F3:F6)</f>
        <v>0</v>
      </c>
      <c r="I7" s="112"/>
      <c r="K7" s="39">
        <f>{32767;32767;0.000001;0.01;TRUE;FALSE;TRUE;1;1;1;0.0001;TRUE}</f>
        <v>32767</v>
      </c>
      <c r="M7" s="39">
        <f>{32767;32767;0.000001;0.01;TRUE;FALSE;TRUE;1;1;1;0.0001;TRUE}</f>
        <v>32767</v>
      </c>
    </row>
    <row r="8" spans="1:13" ht="15.75" thickBot="1" x14ac:dyDescent="0.3">
      <c r="I8" s="30">
        <f>SUMPRODUCT(C18:F21,C26:F29)</f>
        <v>1500</v>
      </c>
      <c r="K8" s="40">
        <f>{0;0;2;100;0;FALSE;TRUE;0.075;0;0;FALSE;30}</f>
        <v>0</v>
      </c>
      <c r="M8" s="40">
        <f>{0;0;2;100;0;FALSE;TRUE;0.075;0;0;FALSE;30}</f>
        <v>0</v>
      </c>
    </row>
    <row r="9" spans="1:13" x14ac:dyDescent="0.25">
      <c r="A9" s="108" t="s">
        <v>14</v>
      </c>
      <c r="B9" s="109"/>
      <c r="C9" s="9" t="s">
        <v>3</v>
      </c>
      <c r="D9" s="9" t="s">
        <v>4</v>
      </c>
      <c r="E9" s="9" t="s">
        <v>5</v>
      </c>
      <c r="F9" s="75" t="s">
        <v>31</v>
      </c>
    </row>
    <row r="10" spans="1:13" x14ac:dyDescent="0.25">
      <c r="A10" s="110"/>
      <c r="B10" s="111"/>
      <c r="C10" s="5">
        <f>C2</f>
        <v>350</v>
      </c>
      <c r="D10" s="5">
        <f>D2</f>
        <v>320</v>
      </c>
      <c r="E10" s="5">
        <f>E2</f>
        <v>400</v>
      </c>
      <c r="F10" s="22">
        <f>F2</f>
        <v>0</v>
      </c>
      <c r="I10" s="37" t="s">
        <v>36</v>
      </c>
    </row>
    <row r="11" spans="1:13" x14ac:dyDescent="0.25">
      <c r="A11" s="12" t="s">
        <v>0</v>
      </c>
      <c r="B11" s="2">
        <f>B3</f>
        <v>200</v>
      </c>
      <c r="C11" s="3">
        <f>Inputs!D3</f>
        <v>16</v>
      </c>
      <c r="D11" s="3">
        <f>Inputs!E3</f>
        <v>12</v>
      </c>
      <c r="E11" s="3">
        <f>Inputs!F3</f>
        <v>14</v>
      </c>
      <c r="F11" s="26">
        <f>Inputs!G3</f>
        <v>0</v>
      </c>
      <c r="I11" s="30">
        <f>SUM(I3,I8)</f>
        <v>12960</v>
      </c>
    </row>
    <row r="12" spans="1:13" x14ac:dyDescent="0.25">
      <c r="A12" s="12" t="s">
        <v>1</v>
      </c>
      <c r="B12" s="2">
        <f>B4</f>
        <v>300</v>
      </c>
      <c r="C12" s="3">
        <f>Inputs!D4</f>
        <v>20</v>
      </c>
      <c r="D12" s="3">
        <f>Inputs!E4</f>
        <v>10</v>
      </c>
      <c r="E12" s="3">
        <f>Inputs!F4</f>
        <v>18</v>
      </c>
      <c r="F12" s="26">
        <f>Inputs!G4</f>
        <v>0</v>
      </c>
    </row>
    <row r="13" spans="1:13" x14ac:dyDescent="0.25">
      <c r="A13" s="55" t="s">
        <v>2</v>
      </c>
      <c r="B13" s="2">
        <f>B5</f>
        <v>0</v>
      </c>
      <c r="C13" s="3">
        <f>Inputs!D5</f>
        <v>0</v>
      </c>
      <c r="D13" s="3">
        <f>Inputs!E5</f>
        <v>0</v>
      </c>
      <c r="E13" s="3">
        <f>Inputs!F5</f>
        <v>0</v>
      </c>
      <c r="F13" s="26">
        <f>Inputs!G5</f>
        <v>0</v>
      </c>
    </row>
    <row r="14" spans="1:13" ht="15.75" thickBot="1" x14ac:dyDescent="0.3">
      <c r="A14" s="14" t="s">
        <v>30</v>
      </c>
      <c r="B14" s="24">
        <f>B6</f>
        <v>400</v>
      </c>
      <c r="C14" s="27">
        <f>Inputs!D6</f>
        <v>14</v>
      </c>
      <c r="D14" s="27">
        <f>Inputs!E6</f>
        <v>21</v>
      </c>
      <c r="E14" s="27">
        <f>Inputs!F6</f>
        <v>16</v>
      </c>
      <c r="F14" s="28">
        <f>Inputs!G6</f>
        <v>0</v>
      </c>
    </row>
    <row r="15" spans="1:13" ht="15.75" thickBot="1" x14ac:dyDescent="0.3"/>
    <row r="16" spans="1:13" x14ac:dyDescent="0.25">
      <c r="A16" s="108" t="s">
        <v>16</v>
      </c>
      <c r="B16" s="109"/>
      <c r="C16" s="9" t="s">
        <v>21</v>
      </c>
      <c r="D16" s="9" t="s">
        <v>22</v>
      </c>
      <c r="E16" s="9" t="s">
        <v>23</v>
      </c>
      <c r="F16" s="10" t="s">
        <v>24</v>
      </c>
    </row>
    <row r="17" spans="1:7" x14ac:dyDescent="0.25">
      <c r="A17" s="110"/>
      <c r="B17" s="111"/>
      <c r="C17" s="6">
        <f>Inputs!B3</f>
        <v>210</v>
      </c>
      <c r="D17" s="6">
        <f>Inputs!B4</f>
        <v>320</v>
      </c>
      <c r="E17" s="6">
        <f>Inputs!B5</f>
        <v>150</v>
      </c>
      <c r="F17" s="11">
        <f>Inputs!B6</f>
        <v>220</v>
      </c>
      <c r="G17" s="82">
        <f>SUM(C17:F17)</f>
        <v>900</v>
      </c>
    </row>
    <row r="18" spans="1:7" x14ac:dyDescent="0.25">
      <c r="A18" s="12" t="s">
        <v>3</v>
      </c>
      <c r="B18" s="4">
        <f>C2</f>
        <v>350</v>
      </c>
      <c r="C18" s="3">
        <v>0</v>
      </c>
      <c r="D18" s="31">
        <v>0</v>
      </c>
      <c r="E18" s="3">
        <v>0</v>
      </c>
      <c r="F18" s="23">
        <v>180</v>
      </c>
      <c r="G18">
        <f>SUM(C18:F18)</f>
        <v>180</v>
      </c>
    </row>
    <row r="19" spans="1:7" x14ac:dyDescent="0.25">
      <c r="A19" s="12" t="s">
        <v>4</v>
      </c>
      <c r="B19" s="4">
        <f>D2</f>
        <v>320</v>
      </c>
      <c r="C19" s="3">
        <v>130</v>
      </c>
      <c r="D19" s="31">
        <v>0</v>
      </c>
      <c r="E19" s="3">
        <v>150</v>
      </c>
      <c r="F19" s="23">
        <v>40</v>
      </c>
      <c r="G19">
        <f>SUM(C19:F19)</f>
        <v>320</v>
      </c>
    </row>
    <row r="20" spans="1:7" x14ac:dyDescent="0.25">
      <c r="A20" s="55" t="s">
        <v>5</v>
      </c>
      <c r="B20" s="56">
        <f>E2</f>
        <v>400</v>
      </c>
      <c r="C20" s="74">
        <v>80</v>
      </c>
      <c r="D20" s="80">
        <v>320</v>
      </c>
      <c r="E20" s="74">
        <v>0</v>
      </c>
      <c r="F20" s="81">
        <v>0</v>
      </c>
      <c r="G20">
        <f>SUM(C20:F20)</f>
        <v>400</v>
      </c>
    </row>
    <row r="21" spans="1:7" ht="15.75" thickBot="1" x14ac:dyDescent="0.3">
      <c r="A21" s="14" t="s">
        <v>31</v>
      </c>
      <c r="B21" s="15">
        <f>F2</f>
        <v>0</v>
      </c>
      <c r="C21" s="27">
        <v>0</v>
      </c>
      <c r="D21" s="32">
        <v>0</v>
      </c>
      <c r="E21" s="27">
        <v>0</v>
      </c>
      <c r="F21" s="25">
        <v>0</v>
      </c>
      <c r="G21">
        <f>SUM(C21:F21)</f>
        <v>0</v>
      </c>
    </row>
    <row r="22" spans="1:7" x14ac:dyDescent="0.25">
      <c r="B22" s="82">
        <f>SUM(B18:B21)</f>
        <v>1070</v>
      </c>
      <c r="C22">
        <f>SUM(C18:C21)</f>
        <v>210</v>
      </c>
      <c r="D22">
        <f t="shared" ref="D22" si="0">SUM(D18:D21)</f>
        <v>320</v>
      </c>
      <c r="E22">
        <f t="shared" ref="E22" si="1">SUM(E18:E21)</f>
        <v>150</v>
      </c>
      <c r="F22">
        <f>SUM(F18:F21)</f>
        <v>220</v>
      </c>
    </row>
    <row r="23" spans="1:7" ht="15.75" thickBot="1" x14ac:dyDescent="0.3"/>
    <row r="24" spans="1:7" x14ac:dyDescent="0.25">
      <c r="A24" s="108" t="s">
        <v>17</v>
      </c>
      <c r="B24" s="109"/>
      <c r="C24" s="10" t="s">
        <v>21</v>
      </c>
      <c r="D24" s="10" t="s">
        <v>22</v>
      </c>
      <c r="E24" s="10" t="s">
        <v>23</v>
      </c>
      <c r="F24" s="10" t="s">
        <v>24</v>
      </c>
    </row>
    <row r="25" spans="1:7" x14ac:dyDescent="0.25">
      <c r="A25" s="110"/>
      <c r="B25" s="111"/>
      <c r="C25" s="33">
        <f>C17</f>
        <v>210</v>
      </c>
      <c r="D25" s="33">
        <f t="shared" ref="D25:F25" si="2">D17</f>
        <v>320</v>
      </c>
      <c r="E25" s="33">
        <f t="shared" si="2"/>
        <v>150</v>
      </c>
      <c r="F25" s="36">
        <f t="shared" si="2"/>
        <v>220</v>
      </c>
    </row>
    <row r="26" spans="1:7" x14ac:dyDescent="0.25">
      <c r="A26" s="12" t="s">
        <v>3</v>
      </c>
      <c r="B26" s="34">
        <f>B18</f>
        <v>350</v>
      </c>
      <c r="C26" s="3">
        <f>Inputs!H3</f>
        <v>6</v>
      </c>
      <c r="D26" s="3">
        <f>Inputs!I3</f>
        <v>8</v>
      </c>
      <c r="E26" s="3">
        <f>Inputs!J3</f>
        <v>5</v>
      </c>
      <c r="F26" s="3">
        <f>Inputs!K3</f>
        <v>2</v>
      </c>
    </row>
    <row r="27" spans="1:7" x14ac:dyDescent="0.25">
      <c r="A27" s="12" t="s">
        <v>4</v>
      </c>
      <c r="B27" s="34">
        <f t="shared" ref="B27:B29" si="3">B19</f>
        <v>320</v>
      </c>
      <c r="C27" s="3">
        <f>Inputs!H4</f>
        <v>5</v>
      </c>
      <c r="D27" s="3">
        <f>Inputs!I4</f>
        <v>10</v>
      </c>
      <c r="E27" s="3">
        <f>Inputs!J4</f>
        <v>3</v>
      </c>
      <c r="F27" s="3">
        <f>Inputs!K4</f>
        <v>1</v>
      </c>
    </row>
    <row r="28" spans="1:7" x14ac:dyDescent="0.25">
      <c r="A28" s="55" t="s">
        <v>5</v>
      </c>
      <c r="B28" s="34">
        <f t="shared" si="3"/>
        <v>400</v>
      </c>
      <c r="C28" s="3">
        <f>Inputs!H5</f>
        <v>0</v>
      </c>
      <c r="D28" s="3">
        <f>Inputs!I5</f>
        <v>0</v>
      </c>
      <c r="E28" s="3">
        <f>Inputs!J5</f>
        <v>0</v>
      </c>
      <c r="F28" s="3">
        <f>Inputs!K5</f>
        <v>0</v>
      </c>
    </row>
    <row r="29" spans="1:7" ht="15.75" thickBot="1" x14ac:dyDescent="0.3">
      <c r="A29" s="14" t="s">
        <v>31</v>
      </c>
      <c r="B29" s="35">
        <f t="shared" si="3"/>
        <v>0</v>
      </c>
      <c r="C29" s="3">
        <f>Inputs!H6</f>
        <v>8</v>
      </c>
      <c r="D29" s="3">
        <f>Inputs!I6</f>
        <v>12</v>
      </c>
      <c r="E29" s="3">
        <f>Inputs!J6</f>
        <v>4</v>
      </c>
      <c r="F29" s="3">
        <f>Inputs!K6</f>
        <v>2</v>
      </c>
    </row>
  </sheetData>
  <mergeCells count="6">
    <mergeCell ref="A1:B2"/>
    <mergeCell ref="A9:B10"/>
    <mergeCell ref="I1:I2"/>
    <mergeCell ref="A16:B17"/>
    <mergeCell ref="A24:B25"/>
    <mergeCell ref="I6:I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двухэтапная транспортная задача</vt:lpstr>
      <vt:lpstr>раздельное прикрепление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2020-12-03T09:25:25Z</dcterms:modified>
</cp:coreProperties>
</file>